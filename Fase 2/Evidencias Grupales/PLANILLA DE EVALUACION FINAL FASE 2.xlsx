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over\Desktop\"/>
    </mc:Choice>
  </mc:AlternateContent>
  <xr:revisionPtr revIDLastSave="0" documentId="13_ncr:1_{74D12C13-8002-4E50-9561-7CA9983A3A73}" xr6:coauthVersionLast="47" xr6:coauthVersionMax="47" xr10:uidLastSave="{00000000-0000-0000-0000-000000000000}"/>
  <bookViews>
    <workbookView xWindow="-110" yWindow="-110" windowWidth="19420" windowHeight="104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<sst xmlns="http://schemas.openxmlformats.org/spreadsheetml/2006/main" count="137" uniqueCount="78">
  <si>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</si>
  <si>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</si>
  <si>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</si>
  <si>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</si>
  <si>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</si>
  <si>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</si>
  <si>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</si>
  <si>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</si>
  <si>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</si>
  <si>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</si>
  <si>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</si>
  <si>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</si>
  <si>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</si>
  <si>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</si>
  <si>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</si>
  <si>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</si>
  <si>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</si>
  <si>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</si>
  <si>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</si>
  <si>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</si>
  <si>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</si>
  <si>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</si>
  <si>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</si>
  <si>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</si>
  <si>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</si>
  <si>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</si>
  <si>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</si>
  <si>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</si>
  <si>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</si>
  <si>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</si>
  <si>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</si>
  <si>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</si>
  <si>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</si>
  <si>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</si>
  <si>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</si>
  <si>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</si>
  <si>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</si>
  <si>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</si>
  <si>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</si>
  <si>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</si>
  <si>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</si>
  <si>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</si>
  <si>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</si>
  <si>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</si>
  <si>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</si>
  <si>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</si>
  <si>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</si>
  <si>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</si>
  <si>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</si>
  <si>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</si>
  <si>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</si>
  <si>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</si>
  <si>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</si>
  <si>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</si>
  <si>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</si>
  <si>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</si>
  <si>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</si>
  <si>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</si>
  <si>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</si>
  <si>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</si>
  <si>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</si>
  <si>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</si>
  <si>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</si>
  <si>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</si>
  <si>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</si>
  <si>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</si>
  <si>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</si>
  <si>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</si>
  <si>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</si>
  <si>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</si>
  <si>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</si>
  <si>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</si>
  <si>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</si>
  <si>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</si>
  <si>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</si>
  <si>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</si>
  <si>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Ricardo Uribe</t>
  </si>
  <si>
    <t>Felipe Diaz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</si>
</sst>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11" fillId="4" borderId="4" xfId="0" applyFont="1" applyFill="1" applyBorder="1" applyAlignment="1">
      <alignment horizontal="center" vertical="center"/>
    </xf>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53125" defaultRowHeight="14.5"/>
  <cols>
    <col min="1" max="6" width="38.726562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2">
      <c r="A4" s="37" t="s">
        <v>7</v>
      </c>
      <c r="B4" s="37" t="s">
        <v>8</v>
      </c>
      <c r="C4" s="37" t="s">
        <v>9</v>
      </c>
      <c r="D4" s="37" t="s">
        <v>10</v>
      </c>
      <c r="E4" s="37" t="s">
        <v>11</v>
      </c>
      <c r="F4" s="38">
        <v>10</v>
      </c>
    </row>
    <row r="5" spans="1:6" ht="78">
      <c r="A5" s="41" t="s">
        <v>12</v>
      </c>
      <c r="B5" s="37" t="s">
        <v>13</v>
      </c>
      <c r="C5" s="37" t="s">
        <v>14</v>
      </c>
      <c r="D5" s="37" t="s">
        <v>15</v>
      </c>
      <c r="E5" s="37" t="s">
        <v>16</v>
      </c>
      <c r="F5" s="38">
        <v>20</v>
      </c>
    </row>
    <row r="6" spans="1:6" ht="39.5" thickBot="1">
      <c r="A6" s="41" t="s">
        <v>17</v>
      </c>
      <c r="B6" s="37" t="s">
        <v>18</v>
      </c>
      <c r="C6" s="37" t="s">
        <v>19</v>
      </c>
      <c r="D6" s="37" t="s">
        <v>20</v>
      </c>
      <c r="E6" s="37" t="s">
        <v>21</v>
      </c>
      <c r="F6" s="38">
        <v>5</v>
      </c>
    </row>
    <row r="7" spans="1:6" ht="65">
      <c r="A7" s="42" t="s">
        <v>22</v>
      </c>
      <c r="B7" s="43" t="s">
        <v>23</v>
      </c>
      <c r="C7" s="43" t="s">
        <v>24</v>
      </c>
      <c r="D7" s="43" t="s">
        <v>25</v>
      </c>
      <c r="E7" s="44" t="s">
        <v>26</v>
      </c>
      <c r="F7" s="38">
        <v>5</v>
      </c>
    </row>
    <row r="8" spans="1:6" ht="39">
      <c r="A8" s="41" t="s">
        <v>27</v>
      </c>
      <c r="B8" s="37" t="s">
        <v>28</v>
      </c>
      <c r="C8" s="37" t="s">
        <v>29</v>
      </c>
      <c r="D8" s="37" t="s">
        <v>30</v>
      </c>
      <c r="E8" s="37" t="s">
        <v>31</v>
      </c>
      <c r="F8" s="38">
        <v>5</v>
      </c>
    </row>
    <row r="9" spans="1:6" ht="52">
      <c r="A9" s="41" t="s">
        <v>32</v>
      </c>
      <c r="B9" s="37" t="s">
        <v>33</v>
      </c>
      <c r="C9" s="37" t="s">
        <v>34</v>
      </c>
      <c r="D9" s="37" t="s">
        <v>35</v>
      </c>
      <c r="E9" s="37" t="s">
        <v>36</v>
      </c>
      <c r="F9" s="38">
        <v>5</v>
      </c>
    </row>
    <row r="10" spans="1:6" ht="52">
      <c r="A10" s="41" t="s">
        <v>37</v>
      </c>
      <c r="B10" s="37" t="s">
        <v>38</v>
      </c>
      <c r="C10" s="37" t="s">
        <v>39</v>
      </c>
      <c r="D10" s="37" t="s">
        <v>40</v>
      </c>
      <c r="E10" s="37" t="s">
        <v>41</v>
      </c>
      <c r="F10" s="38">
        <v>15</v>
      </c>
    </row>
    <row r="11" spans="1:6" ht="52.5" thickBot="1">
      <c r="A11" s="45" t="s">
        <v>42</v>
      </c>
      <c r="B11" s="26" t="s">
        <v>43</v>
      </c>
      <c r="C11" s="26" t="s">
        <v>44</v>
      </c>
      <c r="D11" s="26" t="s">
        <v>45</v>
      </c>
      <c r="E11" s="46" t="s">
        <v>46</v>
      </c>
      <c r="F11" s="38">
        <v>10</v>
      </c>
    </row>
    <row r="12" spans="1:6" ht="65.5" thickBot="1">
      <c r="A12" s="47" t="s">
        <v>47</v>
      </c>
      <c r="B12" s="48" t="s">
        <v>48</v>
      </c>
      <c r="C12" s="48" t="s">
        <v>49</v>
      </c>
      <c r="D12" s="48" t="s">
        <v>50</v>
      </c>
      <c r="E12" s="48" t="s">
        <v>51</v>
      </c>
      <c r="F12" s="49">
        <v>15</v>
      </c>
    </row>
    <row r="13" spans="1:6" ht="9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19" sqref="C19"/>
    </sheetView>
  </sheetViews>
  <sheetFormatPr baseColWidth="10" defaultColWidth="14.453125" defaultRowHeight="15" customHeight="1" outlineLevelRow="1"/>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c r="C2" s="2">
        <v>0.75</v>
      </c>
      <c r="D2" s="2">
        <v>0.25</v>
      </c>
      <c r="E2" s="68">
        <v>1</v>
      </c>
    </row>
    <row r="3" spans="1:11" ht="14.5">
      <c r="B3" s="3" t="s">
        <v>57</v>
      </c>
      <c r="C3" s="39" t="s">
        <v>58</v>
      </c>
      <c r="D3" s="40" t="s">
        <v>59</v>
      </c>
      <c r="E3" s="54"/>
    </row>
    <row r="4" spans="1:11" ht="14.5">
      <c r="A4" s="4">
        <v>1</v>
      </c>
      <c r="B4" s="27" t="s">
        <v>76</v>
      </c>
      <c r="C4" s="5">
        <f>EVALUACION1!$C$21</f>
        <v>5.4</v>
      </c>
      <c r="D4" s="5">
        <f>$C$32</f>
        <v>7</v>
      </c>
      <c r="E4" s="6">
        <f>C4*C$2+D4*D$2</f>
        <v>5.8000000000000007</v>
      </c>
      <c r="G4" s="1"/>
    </row>
    <row r="5" spans="1:11" ht="14.5">
      <c r="A5" s="4">
        <v>2</v>
      </c>
      <c r="B5" s="27" t="s">
        <v>77</v>
      </c>
      <c r="C5" s="5">
        <f>EVALUACION1!$C$21</f>
        <v>5.4</v>
      </c>
      <c r="D5" s="5">
        <f>C44</f>
        <v>7</v>
      </c>
      <c r="E5" s="6">
        <f t="shared" ref="E5:E6" si="0">C5*C$2+D5*D$2</f>
        <v>5.8000000000000007</v>
      </c>
      <c r="G5" s="1"/>
    </row>
    <row r="6" spans="1:11" ht="14.5">
      <c r="A6" s="4">
        <v>3</v>
      </c>
      <c r="B6" s="27"/>
      <c r="C6" s="5">
        <f>EVALUACION1!$C$21</f>
        <v>5.4</v>
      </c>
      <c r="D6" s="5">
        <f>C55</f>
        <v>7</v>
      </c>
      <c r="E6" s="6">
        <f t="shared" si="0"/>
        <v>5.8000000000000007</v>
      </c>
      <c r="G6" s="1"/>
    </row>
    <row r="11" spans="1:11" ht="18.5" outlineLevel="1">
      <c r="A11" s="69" t="s">
        <v>58</v>
      </c>
      <c r="B11" s="14"/>
      <c r="C11" s="55" t="s">
        <v>60</v>
      </c>
      <c r="D11" s="62" t="s">
        <v>61</v>
      </c>
      <c r="E11" s="67"/>
      <c r="F11" s="67"/>
      <c r="G11" s="67"/>
      <c r="H11" s="67"/>
      <c r="I11" s="67"/>
      <c r="J11" s="67"/>
      <c r="K11" s="63"/>
    </row>
    <row r="12" spans="1:11" ht="14.5"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64</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36"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14.5" outlineLevel="1">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c r="A18" s="70"/>
      <c r="B18" s="30" t="str">
        <f>RUBRICA!A10</f>
        <v>7. Entrega la documentación y evidencias requerida por la asignatura de acuerdo a la estrucutra y nombres solicitados, guardando todas las evidencias de avances en Git</v>
      </c>
      <c r="C18" s="28" t="s">
        <v>64</v>
      </c>
      <c r="D18" s="16" t="str">
        <f>IF($C18=CL,"X","")</f>
        <v/>
      </c>
      <c r="E18" s="16" t="str">
        <f>IF(D18="X",100*0.15,"")</f>
        <v/>
      </c>
      <c r="F18" s="16" t="str">
        <f>IF($C18=L,"X","")</f>
        <v>X</v>
      </c>
      <c r="G18" s="16">
        <f>IF(F18="X",60*0.15,"")</f>
        <v>9</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64</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c r="A20" s="65"/>
      <c r="B20" s="29" t="s">
        <v>66</v>
      </c>
      <c r="C20" s="33">
        <f>E20+G20+I20+K20</f>
        <v>59</v>
      </c>
      <c r="D20" s="19"/>
      <c r="E20" s="19">
        <f>SUM(E13:E19)</f>
        <v>35</v>
      </c>
      <c r="F20" s="19"/>
      <c r="G20" s="19">
        <f>SUM(G13:G19)</f>
        <v>24</v>
      </c>
      <c r="H20" s="19"/>
      <c r="I20" s="19">
        <f>SUM(I13:I19)</f>
        <v>0</v>
      </c>
      <c r="J20" s="19"/>
      <c r="K20" s="19">
        <f>SUM(K13:K19)</f>
        <v>0</v>
      </c>
    </row>
    <row r="21" spans="1:11" ht="15.75" customHeight="1" outlineLevel="1">
      <c r="A21" s="54"/>
      <c r="B21" s="32" t="s">
        <v>67</v>
      </c>
      <c r="C21" s="20">
        <f>VLOOKUP(C20,ESCALA_IEP!A1:B152,2,FALSE)</f>
        <v>5.4</v>
      </c>
    </row>
    <row r="22" spans="1:11" ht="15.75" customHeight="1"/>
    <row r="23" spans="1:11" ht="15.75" customHeight="1"/>
    <row r="24" spans="1:11" ht="15.75" customHeight="1">
      <c r="A24" s="64" t="s">
        <v>59</v>
      </c>
      <c r="B24" s="53" t="s">
        <v>68</v>
      </c>
      <c r="C24" s="56" t="str">
        <f>$B$4</f>
        <v>Ricardo Uribe</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ht="14.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5" customHeight="1">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5"/>
      <c r="B31" s="21" t="s">
        <v>70</v>
      </c>
      <c r="C31" s="18">
        <f>E31+G31+I31+K31</f>
        <v>25</v>
      </c>
      <c r="D31" s="19"/>
      <c r="E31" s="19">
        <f>SUM(E28:E30)</f>
        <v>25</v>
      </c>
      <c r="F31" s="19"/>
      <c r="G31" s="19">
        <f>SUM(G28:G30)</f>
        <v>0</v>
      </c>
      <c r="H31" s="19"/>
      <c r="I31" s="19">
        <f>SUM(I28:I30)</f>
        <v>0</v>
      </c>
      <c r="J31" s="19"/>
      <c r="K31" s="19">
        <f>SUM(K29:K30)</f>
        <v>0</v>
      </c>
    </row>
    <row r="32" spans="1:11" ht="15.75" customHeight="1">
      <c r="A32" s="54"/>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64" t="s">
        <v>59</v>
      </c>
      <c r="B36" s="53" t="s">
        <v>68</v>
      </c>
      <c r="C36" s="56" t="str">
        <f>B5</f>
        <v>Felipe Diaz</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5"/>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4" t="s">
        <v>59</v>
      </c>
      <c r="B47" s="53" t="s">
        <v>68</v>
      </c>
      <c r="C47" s="56">
        <f>B6</f>
        <v>0</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cols>
    <col min="1" max="26" width="10.7265625" customWidth="1"/>
  </cols>
  <sheetData>
    <row r="1" spans="1:2" ht="14.5">
      <c r="A1" t="s">
        <v>66</v>
      </c>
      <c r="B1" t="s">
        <v>67</v>
      </c>
    </row>
    <row r="2" spans="1:2" ht="14.5">
      <c r="A2">
        <v>0</v>
      </c>
      <c r="B2">
        <v>1</v>
      </c>
    </row>
    <row r="3" spans="1:2" ht="14.5">
      <c r="A3">
        <v>0.5</v>
      </c>
      <c r="B3">
        <v>1</v>
      </c>
    </row>
    <row r="4" spans="1:2" ht="14.5">
      <c r="A4">
        <v>1</v>
      </c>
      <c r="B4">
        <v>1.1000000000000001</v>
      </c>
    </row>
    <row r="5" spans="1:2" ht="14.5">
      <c r="A5">
        <v>1.5</v>
      </c>
      <c r="B5">
        <v>1.1000000000000001</v>
      </c>
    </row>
    <row r="6" spans="1:2" ht="14.5">
      <c r="A6">
        <v>2</v>
      </c>
      <c r="B6">
        <v>1.1000000000000001</v>
      </c>
    </row>
    <row r="7" spans="1:2" ht="14.5">
      <c r="A7">
        <v>2.5</v>
      </c>
      <c r="B7">
        <v>1.2</v>
      </c>
    </row>
    <row r="8" spans="1:2" ht="14.5">
      <c r="A8">
        <v>3</v>
      </c>
      <c r="B8">
        <v>1.2</v>
      </c>
    </row>
    <row r="9" spans="1:2" ht="14.5">
      <c r="A9">
        <v>3.5</v>
      </c>
      <c r="B9">
        <v>1.2</v>
      </c>
    </row>
    <row r="10" spans="1:2" ht="14.5">
      <c r="A10">
        <v>4</v>
      </c>
      <c r="B10">
        <v>1.3</v>
      </c>
    </row>
    <row r="11" spans="1:2" ht="14.5">
      <c r="A11">
        <v>4.5</v>
      </c>
      <c r="B11">
        <v>1.3</v>
      </c>
    </row>
    <row r="12" spans="1:2" ht="14.5">
      <c r="A12">
        <v>5</v>
      </c>
      <c r="B12">
        <v>1.3</v>
      </c>
    </row>
    <row r="13" spans="1:2" ht="14.5">
      <c r="A13">
        <v>5.5</v>
      </c>
      <c r="B13">
        <v>1.4</v>
      </c>
    </row>
    <row r="14" spans="1:2" ht="14.5">
      <c r="A14">
        <v>6</v>
      </c>
      <c r="B14">
        <v>1.4</v>
      </c>
    </row>
    <row r="15" spans="1:2" ht="14.5">
      <c r="A15">
        <v>6.5</v>
      </c>
      <c r="B15">
        <v>1.4</v>
      </c>
    </row>
    <row r="16" spans="1:2" ht="14.5">
      <c r="A16">
        <v>7</v>
      </c>
      <c r="B16">
        <v>1.5</v>
      </c>
    </row>
    <row r="17" spans="1:2" ht="14.5">
      <c r="A17">
        <v>7.5</v>
      </c>
      <c r="B17">
        <v>1.5</v>
      </c>
    </row>
    <row r="18" spans="1:2" ht="14.5">
      <c r="A18">
        <v>8</v>
      </c>
      <c r="B18">
        <v>1.5</v>
      </c>
    </row>
    <row r="19" spans="1:2" ht="14.5">
      <c r="A19">
        <v>8.5</v>
      </c>
      <c r="B19">
        <v>1.6</v>
      </c>
    </row>
    <row r="20" spans="1:2" ht="1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cols>
    <col min="1" max="26" width="10.7265625" customWidth="1"/>
  </cols>
  <sheetData>
    <row r="1" spans="1:2" ht="14.5">
      <c r="A1" t="s">
        <v>71</v>
      </c>
      <c r="B1" t="s">
        <v>72</v>
      </c>
    </row>
    <row r="2" spans="1:2" ht="14.5">
      <c r="A2">
        <v>0</v>
      </c>
      <c r="B2" s="1">
        <v>1</v>
      </c>
    </row>
    <row r="3" spans="1:2" ht="14.5">
      <c r="A3">
        <v>1</v>
      </c>
      <c r="B3" s="1">
        <v>1.1000000000000001</v>
      </c>
    </row>
    <row r="4" spans="1:2" ht="14.5">
      <c r="A4">
        <v>2</v>
      </c>
      <c r="B4" s="1">
        <v>1.2</v>
      </c>
    </row>
    <row r="5" spans="1:2" ht="14.5">
      <c r="A5">
        <v>3</v>
      </c>
      <c r="B5" s="1">
        <v>1.3</v>
      </c>
    </row>
    <row r="6" spans="1:2" ht="14.5">
      <c r="A6">
        <v>4</v>
      </c>
      <c r="B6" s="1">
        <v>1.4</v>
      </c>
    </row>
    <row r="7" spans="1:2" ht="14.5">
      <c r="A7">
        <v>5</v>
      </c>
      <c r="B7" s="1">
        <v>1.5</v>
      </c>
    </row>
    <row r="8" spans="1:2" ht="14.5">
      <c r="A8">
        <v>6</v>
      </c>
      <c r="B8" s="1">
        <v>1.6</v>
      </c>
    </row>
    <row r="9" spans="1:2" ht="14.5">
      <c r="A9">
        <v>7</v>
      </c>
      <c r="B9" s="1">
        <v>1.7</v>
      </c>
    </row>
    <row r="10" spans="1:2" ht="14.5">
      <c r="A10">
        <v>8</v>
      </c>
      <c r="B10" s="1">
        <v>1.8</v>
      </c>
    </row>
    <row r="11" spans="1:2" ht="14.5">
      <c r="A11">
        <v>9</v>
      </c>
      <c r="B11" s="1">
        <v>1.9</v>
      </c>
    </row>
    <row r="12" spans="1:2" ht="14.5">
      <c r="A12">
        <v>10</v>
      </c>
      <c r="B12" s="1">
        <v>2</v>
      </c>
    </row>
    <row r="13" spans="1:2" ht="14.5">
      <c r="A13">
        <v>11</v>
      </c>
      <c r="B13" s="1">
        <v>2.1</v>
      </c>
    </row>
    <row r="14" spans="1:2" ht="14.5">
      <c r="A14">
        <v>12</v>
      </c>
      <c r="B14" s="1">
        <v>2.2000000000000002</v>
      </c>
    </row>
    <row r="15" spans="1:2" ht="14.5">
      <c r="A15">
        <v>13</v>
      </c>
      <c r="B15" s="1">
        <v>2.2999999999999998</v>
      </c>
    </row>
    <row r="16" spans="1:2" ht="14.5">
      <c r="A16">
        <v>14</v>
      </c>
      <c r="B16" s="1">
        <v>2.2999999999999998</v>
      </c>
    </row>
    <row r="17" spans="1:2" ht="14.5">
      <c r="A17">
        <v>15</v>
      </c>
      <c r="B17" s="1">
        <v>2.4</v>
      </c>
    </row>
    <row r="18" spans="1:2" ht="14.5">
      <c r="A18">
        <v>16</v>
      </c>
      <c r="B18" s="1">
        <v>2.5</v>
      </c>
    </row>
    <row r="19" spans="1:2" ht="14.5">
      <c r="A19">
        <v>17</v>
      </c>
      <c r="B19" s="1">
        <v>2.6</v>
      </c>
    </row>
    <row r="20" spans="1:2" ht="1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cols>
    <col min="1" max="26" width="10.7265625" customWidth="1"/>
  </cols>
  <sheetData>
    <row r="1" spans="1:2" ht="14.5">
      <c r="A1" t="s">
        <v>66</v>
      </c>
      <c r="B1" t="s">
        <v>67</v>
      </c>
    </row>
    <row r="2" spans="1:2" ht="14.5">
      <c r="A2">
        <v>0</v>
      </c>
      <c r="B2">
        <v>1</v>
      </c>
    </row>
    <row r="3" spans="1:2" ht="14.5">
      <c r="A3">
        <v>0.5</v>
      </c>
      <c r="B3">
        <v>1.1000000000000001</v>
      </c>
    </row>
    <row r="4" spans="1:2" ht="14.5">
      <c r="A4">
        <v>1</v>
      </c>
      <c r="B4">
        <v>1.2</v>
      </c>
    </row>
    <row r="5" spans="1:2" ht="14.5">
      <c r="A5">
        <v>1.5</v>
      </c>
      <c r="B5">
        <v>1.3</v>
      </c>
    </row>
    <row r="6" spans="1:2" ht="14.5">
      <c r="A6">
        <v>2</v>
      </c>
      <c r="B6">
        <v>1.4</v>
      </c>
    </row>
    <row r="7" spans="1:2" ht="14.5">
      <c r="A7">
        <v>2.5</v>
      </c>
      <c r="B7">
        <v>1.5</v>
      </c>
    </row>
    <row r="8" spans="1:2" ht="14.5">
      <c r="A8">
        <v>3</v>
      </c>
      <c r="B8">
        <v>1.6</v>
      </c>
    </row>
    <row r="9" spans="1:2" ht="14.5">
      <c r="A9">
        <v>3.5</v>
      </c>
      <c r="B9">
        <v>1.7</v>
      </c>
    </row>
    <row r="10" spans="1:2" ht="14.5">
      <c r="A10">
        <v>4</v>
      </c>
      <c r="B10">
        <v>1.8</v>
      </c>
    </row>
    <row r="11" spans="1:2" ht="14.5">
      <c r="A11">
        <v>4.5</v>
      </c>
      <c r="B11">
        <v>1.9</v>
      </c>
    </row>
    <row r="12" spans="1:2" ht="14.5">
      <c r="A12">
        <v>5</v>
      </c>
      <c r="B12">
        <v>2</v>
      </c>
    </row>
    <row r="13" spans="1:2" ht="14.5">
      <c r="A13">
        <v>5.5</v>
      </c>
      <c r="B13">
        <v>2.1</v>
      </c>
    </row>
    <row r="14" spans="1:2" ht="14.5">
      <c r="A14">
        <v>6</v>
      </c>
      <c r="B14">
        <v>2.2000000000000002</v>
      </c>
    </row>
    <row r="15" spans="1:2" ht="14.5">
      <c r="A15">
        <v>6.5</v>
      </c>
      <c r="B15">
        <v>2.2999999999999998</v>
      </c>
    </row>
    <row r="16" spans="1:2" ht="14.5">
      <c r="A16">
        <v>7</v>
      </c>
      <c r="B16">
        <v>2.4</v>
      </c>
    </row>
    <row r="17" spans="1:2" ht="14.5">
      <c r="A17">
        <v>7.5</v>
      </c>
      <c r="B17">
        <v>2.5</v>
      </c>
    </row>
    <row r="18" spans="1:2" ht="14.5">
      <c r="A18">
        <v>8</v>
      </c>
      <c r="B18">
        <v>2.6</v>
      </c>
    </row>
    <row r="19" spans="1:2" ht="14.5">
      <c r="A19">
        <v>8.5</v>
      </c>
      <c r="B19">
        <v>2.7</v>
      </c>
    </row>
    <row r="20" spans="1:2" ht="1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cols>
    <col min="1" max="25" width="10.7265625" customWidth="1"/>
  </cols>
  <sheetData>
    <row r="1" spans="1:5" ht="14.5">
      <c r="A1" s="71" t="s">
        <v>73</v>
      </c>
      <c r="B1" s="7" t="s">
        <v>66</v>
      </c>
      <c r="C1" s="8"/>
      <c r="D1" s="8"/>
      <c r="E1" s="9"/>
    </row>
    <row r="2" spans="1:5" ht="44" thickBot="1">
      <c r="A2" s="72"/>
      <c r="B2" s="10" t="s">
        <v>63</v>
      </c>
      <c r="C2" s="11" t="s">
        <v>64</v>
      </c>
      <c r="D2" s="31" t="s">
        <v>74</v>
      </c>
      <c r="E2" s="50" t="s">
        <v>6</v>
      </c>
    </row>
    <row r="3" spans="1:5" ht="29.5" thickBot="1">
      <c r="A3" s="12" t="s">
        <v>75</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Rover</cp:lastModifiedBy>
  <cp:revision/>
  <dcterms:created xsi:type="dcterms:W3CDTF">2023-08-07T04:08:01Z</dcterms:created>
  <dcterms:modified xsi:type="dcterms:W3CDTF">2025-11-19T03:29:34Z</dcterms:modified>
  <cp:category/>
  <cp:contentStatus/>
</cp:coreProperties>
</file>