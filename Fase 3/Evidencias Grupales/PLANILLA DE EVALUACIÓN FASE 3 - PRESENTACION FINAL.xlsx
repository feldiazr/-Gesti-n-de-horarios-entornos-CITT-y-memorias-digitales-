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ver\Downloads\"/>
    </mc:Choice>
  </mc:AlternateContent>
  <xr:revisionPtr revIDLastSave="0" documentId="13_ncr:1_{6031B08E-22B0-4883-987E-B63A6CBF60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<sst xmlns="http://schemas.openxmlformats.org/spreadsheetml/2006/main" count="164" uniqueCount="66">
  <si>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</si>
  <si>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</si>
  <si>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</si>
  <si>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</si>
  <si>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ESTUDIANTE 3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</si>
  <si>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</si>
  <si>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</si>
  <si>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</si>
  <si>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</si>
  <si>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</si>
  <si>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</si>
  <si>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</si>
  <si>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</si>
  <si>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</si>
  <si>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</si>
  <si>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</si>
  <si>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</si>
  <si>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</si>
  <si>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</si>
  <si>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</si>
  <si>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</si>
  <si>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</si>
  <si>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</si>
  <si>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</si>
  <si>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</si>
  <si>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</si>
  <si>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</si>
  <si>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</si>
  <si>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</si>
  <si>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</si>
  <si>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</si>
  <si>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</si>
  <si>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</si>
  <si>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</si>
  <si>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</si>
  <si>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</si>
  <si>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</si>
  <si>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</si>
  <si>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</si>
  <si>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</si>
  <si>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</si>
  <si>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</si>
  <si>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</si>
  <si>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</si>
  <si>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</si>
  <si>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</si>
  <si>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</si>
  <si>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</si>
  <si>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</si>
  <si>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</si>
  <si>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</si>
  <si>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</si>
  <si>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</si>
  <si>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</si>
  <si>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</si>
  <si>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</si>
  <si>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</si>
  <si>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</si>
  <si>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</si>
  <si>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</si>
  <si>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</si>
  <si>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</si>
  <si>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</si>
  <si>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</si>
  <si>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Ricardo Uribe</t>
  </si>
  <si>
    <t>Felipe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</si>
</sst>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5" sqref="B5"/>
    </sheetView>
  </sheetViews>
  <sheetFormatPr baseColWidth="10" defaultColWidth="14.453125" defaultRowHeight="15" customHeight="1" outlineLevelRow="1"/>
  <cols>
    <col min="1" max="1" width="10.7265625" customWidth="1"/>
    <col min="2" max="2" width="66.81640625" customWidth="1"/>
    <col min="3" max="3" width="22" bestFit="1" customWidth="1"/>
    <col min="4" max="4" width="15" customWidth="1"/>
    <col min="5" max="7" width="11.7265625" customWidth="1"/>
    <col min="8" max="8" width="7.7265625" customWidth="1"/>
    <col min="9" max="9" width="11.7265625" customWidth="1"/>
    <col min="10" max="10" width="7.7265625" customWidth="1"/>
    <col min="11" max="11" width="11.7265625" customWidth="1"/>
    <col min="12" max="24" width="10.7265625" customWidth="1"/>
  </cols>
  <sheetData>
    <row r="2" spans="1:11" ht="14.5">
      <c r="C2" s="29">
        <v>0.7</v>
      </c>
      <c r="D2" s="32">
        <v>0.3</v>
      </c>
      <c r="E2" s="33">
        <v>1</v>
      </c>
    </row>
    <row r="3" spans="1:11" ht="14.5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5">
      <c r="A4" s="3">
        <v>1</v>
      </c>
      <c r="B4" s="16" t="s">
        <v>64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5">
      <c r="A5" s="3">
        <v>2</v>
      </c>
      <c r="B5" s="16" t="s">
        <v>65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5">
      <c r="A6" s="3">
        <v>3</v>
      </c>
      <c r="B6" s="16" t="s">
        <v>4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5" outlineLevel="1">
      <c r="A11" s="48" t="s">
        <v>5</v>
      </c>
      <c r="B11" s="11" t="str">
        <f>B4</f>
        <v>Ricardo Uribe</v>
      </c>
      <c r="C11" s="43" t="s">
        <v>6</v>
      </c>
      <c r="D11" s="44" t="s">
        <v>7</v>
      </c>
      <c r="E11" s="45"/>
      <c r="F11" s="45"/>
      <c r="G11" s="45"/>
      <c r="H11" s="45"/>
      <c r="I11" s="45"/>
      <c r="J11" s="45"/>
      <c r="K11" s="46"/>
    </row>
    <row r="12" spans="1:11" ht="14.5" outlineLevel="1">
      <c r="A12" s="40"/>
      <c r="B12" s="15" t="s">
        <v>8</v>
      </c>
      <c r="C12" s="42"/>
      <c r="D12" s="44" t="s">
        <v>9</v>
      </c>
      <c r="E12" s="46"/>
      <c r="F12" s="44" t="s">
        <v>10</v>
      </c>
      <c r="G12" s="46"/>
      <c r="H12" s="47" t="s">
        <v>11</v>
      </c>
      <c r="I12" s="46"/>
      <c r="J12" s="44" t="s">
        <v>12</v>
      </c>
      <c r="K12" s="46"/>
    </row>
    <row r="13" spans="1:11" ht="24" outlineLevel="1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9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9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41"/>
      <c r="B15" s="19" t="str">
        <f>RUBRICA!A6</f>
        <v>3. Responde las preguntas realizadas por la comisión, cumpliendo con los estándares de calidad de la disciplina.</v>
      </c>
      <c r="C15" s="17" t="s">
        <v>9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14.5" outlineLevel="1">
      <c r="A16" s="41"/>
      <c r="B16" s="19" t="str">
        <f>RUBRICA!A7</f>
        <v>4. Expone el Proyecto APT, considerando el formato y el tiempo establecido para la presentación.</v>
      </c>
      <c r="C16" s="17" t="s">
        <v>9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41"/>
      <c r="B17" s="19" t="str">
        <f>RUBRICA!A8</f>
        <v>5. Expresa sus ideas con fluidez, claridad y precisión, utilizando lenguaje técnico propio de la disciplina.</v>
      </c>
      <c r="C17" s="17" t="s">
        <v>9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9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9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40"/>
      <c r="B20" s="18" t="s">
        <v>13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42"/>
      <c r="B21" s="21" t="s">
        <v>14</v>
      </c>
      <c r="C21" s="14">
        <f>VLOOKUP(C20,ESCALA_IEP!A2:B202,2,FALSE)</f>
        <v>7</v>
      </c>
    </row>
    <row r="22" spans="1:11" ht="15.75" customHeight="1"/>
    <row r="23" spans="1:11" ht="15.75" customHeight="1"/>
    <row r="24" spans="1:11" ht="24" customHeight="1">
      <c r="A24" s="48" t="s">
        <v>5</v>
      </c>
      <c r="B24" s="11" t="str">
        <f>B5</f>
        <v>Felipe Diaz</v>
      </c>
      <c r="C24" s="43" t="s">
        <v>6</v>
      </c>
      <c r="D24" s="44" t="s">
        <v>7</v>
      </c>
      <c r="E24" s="45"/>
      <c r="F24" s="45"/>
      <c r="G24" s="45"/>
      <c r="H24" s="45"/>
      <c r="I24" s="45"/>
      <c r="J24" s="45"/>
      <c r="K24" s="46"/>
    </row>
    <row r="25" spans="1:11" ht="24" customHeight="1">
      <c r="A25" s="40"/>
      <c r="B25" s="15" t="s">
        <v>8</v>
      </c>
      <c r="C25" s="42"/>
      <c r="D25" s="44" t="s">
        <v>9</v>
      </c>
      <c r="E25" s="46"/>
      <c r="F25" s="44" t="s">
        <v>10</v>
      </c>
      <c r="G25" s="46"/>
      <c r="H25" s="47" t="s">
        <v>11</v>
      </c>
      <c r="I25" s="46"/>
      <c r="J25" s="44" t="s">
        <v>12</v>
      </c>
      <c r="K25" s="46"/>
    </row>
    <row r="26" spans="1:11" ht="24" customHeight="1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9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9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41"/>
      <c r="B28" s="19" t="str">
        <f>RUBRICA!A6</f>
        <v>3. Responde las preguntas realizadas por la comisión, cumpliendo con los estándares de calidad de la disciplina.</v>
      </c>
      <c r="C28" s="17" t="s">
        <v>9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>
      <c r="A29" s="41"/>
      <c r="B29" s="19" t="str">
        <f>RUBRICA!A7</f>
        <v>4. Expone el Proyecto APT, considerando el formato y el tiempo establecido para la presentación.</v>
      </c>
      <c r="C29" s="17" t="s">
        <v>9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41"/>
      <c r="B30" s="19" t="str">
        <f>RUBRICA!A8</f>
        <v>5. Expresa sus ideas con fluidez, claridad y precisión, utilizando lenguaje técnico propio de la disciplina.</v>
      </c>
      <c r="C30" s="17" t="s">
        <v>9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9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9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40"/>
      <c r="B33" s="18" t="s">
        <v>13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42"/>
      <c r="B34" s="21" t="s">
        <v>14</v>
      </c>
      <c r="C34" s="14">
        <f>VLOOKUP(C33,ESCALA_IEP!A15:B215,2,FALSE)</f>
        <v>7</v>
      </c>
    </row>
    <row r="35" spans="1:11" ht="16.149999999999999" customHeight="1"/>
    <row r="36" spans="1:11" ht="13.9" customHeight="1"/>
    <row r="37" spans="1:11" ht="24" customHeight="1">
      <c r="A37" s="48" t="s">
        <v>5</v>
      </c>
      <c r="B37" s="11" t="str">
        <f>B6</f>
        <v>ESTUDIANTE 3</v>
      </c>
      <c r="C37" s="43" t="s">
        <v>6</v>
      </c>
      <c r="D37" s="44" t="s">
        <v>7</v>
      </c>
      <c r="E37" s="45"/>
      <c r="F37" s="45"/>
      <c r="G37" s="45"/>
      <c r="H37" s="45"/>
      <c r="I37" s="45"/>
      <c r="J37" s="45"/>
      <c r="K37" s="46"/>
    </row>
    <row r="38" spans="1:11" ht="24" customHeight="1">
      <c r="A38" s="40"/>
      <c r="B38" s="15" t="s">
        <v>8</v>
      </c>
      <c r="C38" s="42"/>
      <c r="D38" s="44" t="s">
        <v>9</v>
      </c>
      <c r="E38" s="46"/>
      <c r="F38" s="44" t="s">
        <v>10</v>
      </c>
      <c r="G38" s="46"/>
      <c r="H38" s="47" t="s">
        <v>11</v>
      </c>
      <c r="I38" s="46"/>
      <c r="J38" s="44" t="s">
        <v>12</v>
      </c>
      <c r="K38" s="46"/>
    </row>
    <row r="39" spans="1:11" ht="24" customHeight="1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9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9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41"/>
      <c r="B41" s="19" t="str">
        <f>RUBRICA!A6</f>
        <v>3. Responde las preguntas realizadas por la comisión, cumpliendo con los estándares de calidad de la disciplina.</v>
      </c>
      <c r="C41" s="17" t="s">
        <v>9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41"/>
      <c r="B42" s="19" t="str">
        <f>RUBRICA!A7</f>
        <v>4. Expone el Proyecto APT, considerando el formato y el tiempo establecido para la presentación.</v>
      </c>
      <c r="C42" s="17" t="s">
        <v>9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41"/>
      <c r="B43" s="19" t="str">
        <f>RUBRICA!A8</f>
        <v>5. Expresa sus ideas con fluidez, claridad y precisión, utilizando lenguaje técnico propio de la disciplina.</v>
      </c>
      <c r="C43" s="17" t="s">
        <v>9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9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9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40"/>
      <c r="B46" s="18" t="s">
        <v>13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42"/>
      <c r="B47" s="21" t="s">
        <v>14</v>
      </c>
      <c r="C47" s="14">
        <f>VLOOKUP(C46,ESCALA_IEP!A28:B228,2,FALSE)</f>
        <v>7</v>
      </c>
    </row>
    <row r="48" spans="1:11" ht="15.75" customHeight="1"/>
    <row r="49" spans="1:11" ht="15.75" customHeight="1"/>
    <row r="50" spans="1:11" ht="24" customHeight="1">
      <c r="A50" s="39" t="s">
        <v>15</v>
      </c>
      <c r="B50" s="11" t="str">
        <f>B4</f>
        <v>Ricardo Uribe</v>
      </c>
      <c r="C50" s="43" t="s">
        <v>6</v>
      </c>
      <c r="D50" s="44" t="s">
        <v>7</v>
      </c>
      <c r="E50" s="45"/>
      <c r="F50" s="45"/>
      <c r="G50" s="45"/>
      <c r="H50" s="45"/>
      <c r="I50" s="45"/>
      <c r="J50" s="45"/>
      <c r="K50" s="46"/>
    </row>
    <row r="51" spans="1:11" ht="24" customHeight="1">
      <c r="A51" s="40"/>
      <c r="B51" s="15" t="s">
        <v>8</v>
      </c>
      <c r="C51" s="42"/>
      <c r="D51" s="44" t="s">
        <v>9</v>
      </c>
      <c r="E51" s="46"/>
      <c r="F51" s="44" t="s">
        <v>10</v>
      </c>
      <c r="G51" s="46"/>
      <c r="H51" s="47" t="s">
        <v>11</v>
      </c>
      <c r="I51" s="46"/>
      <c r="J51" s="44" t="s">
        <v>12</v>
      </c>
      <c r="K51" s="46"/>
    </row>
    <row r="52" spans="1:11" ht="24" customHeight="1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9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9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41"/>
      <c r="B54" s="19" t="str">
        <f>RUBRICA!A6</f>
        <v>3. Responde las preguntas realizadas por la comisión, cumpliendo con los estándares de calidad de la disciplina.</v>
      </c>
      <c r="C54" s="17" t="s">
        <v>9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>
      <c r="A55" s="41"/>
      <c r="B55" s="19" t="str">
        <f>RUBRICA!A7</f>
        <v>4. Expone el Proyecto APT, considerando el formato y el tiempo establecido para la presentación.</v>
      </c>
      <c r="C55" s="17" t="s">
        <v>9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41"/>
      <c r="B56" s="19" t="str">
        <f>RUBRICA!A8</f>
        <v>5. Expresa sus ideas con fluidez, claridad y precisión, utilizando lenguaje técnico propio de la disciplina.</v>
      </c>
      <c r="C56" s="17" t="s">
        <v>9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9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9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40"/>
      <c r="B59" s="18" t="s">
        <v>13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42"/>
      <c r="B60" s="21" t="s">
        <v>14</v>
      </c>
      <c r="C60" s="14">
        <f>VLOOKUP(C59,ESCALA_IEP!A41:B241,2,FALSE)</f>
        <v>7</v>
      </c>
    </row>
    <row r="61" spans="1:11" ht="15.75" customHeight="1"/>
    <row r="62" spans="1:11" ht="15.75" customHeight="1"/>
    <row r="63" spans="1:11" ht="24" customHeight="1">
      <c r="A63" s="39" t="s">
        <v>16</v>
      </c>
      <c r="B63" s="11" t="str">
        <f>B5</f>
        <v>Felipe Diaz</v>
      </c>
      <c r="C63" s="43" t="s">
        <v>6</v>
      </c>
      <c r="D63" s="44" t="s">
        <v>7</v>
      </c>
      <c r="E63" s="45"/>
      <c r="F63" s="45"/>
      <c r="G63" s="45"/>
      <c r="H63" s="45"/>
      <c r="I63" s="45"/>
      <c r="J63" s="45"/>
      <c r="K63" s="46"/>
    </row>
    <row r="64" spans="1:11" ht="24" customHeight="1">
      <c r="A64" s="40"/>
      <c r="B64" s="15" t="s">
        <v>8</v>
      </c>
      <c r="C64" s="42"/>
      <c r="D64" s="44" t="s">
        <v>9</v>
      </c>
      <c r="E64" s="46"/>
      <c r="F64" s="44" t="s">
        <v>10</v>
      </c>
      <c r="G64" s="46"/>
      <c r="H64" s="47" t="s">
        <v>11</v>
      </c>
      <c r="I64" s="46"/>
      <c r="J64" s="44" t="s">
        <v>12</v>
      </c>
      <c r="K64" s="46"/>
    </row>
    <row r="65" spans="1:11" ht="24" customHeight="1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9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9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41"/>
      <c r="B67" s="19" t="str">
        <f>RUBRICA!A6</f>
        <v>3. Responde las preguntas realizadas por la comisión, cumpliendo con los estándares de calidad de la disciplina.</v>
      </c>
      <c r="C67" s="17" t="s">
        <v>9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>
      <c r="A68" s="41"/>
      <c r="B68" s="19" t="str">
        <f>RUBRICA!A7</f>
        <v>4. Expone el Proyecto APT, considerando el formato y el tiempo establecido para la presentación.</v>
      </c>
      <c r="C68" s="17" t="s">
        <v>9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41"/>
      <c r="B69" s="19" t="str">
        <f>RUBRICA!A8</f>
        <v>5. Expresa sus ideas con fluidez, claridad y precisión, utilizando lenguaje técnico propio de la disciplina.</v>
      </c>
      <c r="C69" s="17" t="s">
        <v>9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9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9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40"/>
      <c r="B72" s="18" t="s">
        <v>13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>
      <c r="A73" s="42"/>
      <c r="B73" s="21" t="s">
        <v>14</v>
      </c>
      <c r="C73" s="14">
        <f>VLOOKUP(C72,ESCALA_IEP!A54:B254,2,FALSE)</f>
        <v>7</v>
      </c>
    </row>
    <row r="74" spans="1:11" ht="15.75" customHeight="1"/>
    <row r="75" spans="1:11" ht="15.75" customHeight="1"/>
    <row r="76" spans="1:11" ht="24" customHeight="1">
      <c r="A76" s="39" t="s">
        <v>17</v>
      </c>
      <c r="B76" s="11" t="str">
        <f>B6</f>
        <v>ESTUDIANTE 3</v>
      </c>
      <c r="C76" s="43" t="s">
        <v>6</v>
      </c>
      <c r="D76" s="44" t="s">
        <v>7</v>
      </c>
      <c r="E76" s="45"/>
      <c r="F76" s="45"/>
      <c r="G76" s="45"/>
      <c r="H76" s="45"/>
      <c r="I76" s="45"/>
      <c r="J76" s="45"/>
      <c r="K76" s="46"/>
    </row>
    <row r="77" spans="1:11" ht="24" customHeight="1">
      <c r="A77" s="40"/>
      <c r="B77" s="15" t="s">
        <v>8</v>
      </c>
      <c r="C77" s="42"/>
      <c r="D77" s="44" t="s">
        <v>9</v>
      </c>
      <c r="E77" s="46"/>
      <c r="F77" s="44" t="s">
        <v>10</v>
      </c>
      <c r="G77" s="46"/>
      <c r="H77" s="47" t="s">
        <v>11</v>
      </c>
      <c r="I77" s="46"/>
      <c r="J77" s="44" t="s">
        <v>12</v>
      </c>
      <c r="K77" s="46"/>
    </row>
    <row r="78" spans="1:11" ht="24" customHeight="1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9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9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41"/>
      <c r="B80" s="19" t="str">
        <f>RUBRICA!A6</f>
        <v>3. Responde las preguntas realizadas por la comisión, cumpliendo con los estándares de calidad de la disciplina.</v>
      </c>
      <c r="C80" s="17" t="s">
        <v>9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>
      <c r="A81" s="41"/>
      <c r="B81" s="19" t="str">
        <f>RUBRICA!A7</f>
        <v>4. Expone el Proyecto APT, considerando el formato y el tiempo establecido para la presentación.</v>
      </c>
      <c r="C81" s="17" t="s">
        <v>9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41"/>
      <c r="B82" s="19" t="str">
        <f>RUBRICA!A8</f>
        <v>5. Expresa sus ideas con fluidez, claridad y precisión, utilizando lenguaje técnico propio de la disciplina.</v>
      </c>
      <c r="C82" s="17" t="s">
        <v>9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9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9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40"/>
      <c r="B85" s="18" t="s">
        <v>13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42"/>
      <c r="B86" s="21" t="s">
        <v>14</v>
      </c>
      <c r="C86" s="14">
        <f>VLOOKUP(C85,ESCALA_IEP!A67:B267,2,FALSE)</f>
        <v>7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53125" defaultRowHeight="14.5"/>
  <cols>
    <col min="1" max="1" width="45.54296875" customWidth="1"/>
    <col min="2" max="2" width="31.26953125" customWidth="1"/>
    <col min="3" max="3" width="24.1796875" customWidth="1"/>
    <col min="4" max="4" width="29.81640625" customWidth="1"/>
    <col min="5" max="5" width="30.7265625" customWidth="1"/>
    <col min="6" max="6" width="15.26953125" customWidth="1"/>
  </cols>
  <sheetData>
    <row r="1" spans="1:6" ht="15" thickBot="1">
      <c r="A1" s="49" t="s">
        <v>18</v>
      </c>
      <c r="B1" s="51" t="s">
        <v>19</v>
      </c>
      <c r="C1" s="52"/>
      <c r="D1" s="52"/>
      <c r="E1" s="53"/>
      <c r="F1" s="49" t="s">
        <v>20</v>
      </c>
    </row>
    <row r="2" spans="1:6">
      <c r="A2" s="50"/>
      <c r="B2" s="54" t="s">
        <v>21</v>
      </c>
      <c r="C2" s="54" t="s">
        <v>22</v>
      </c>
      <c r="D2" s="25" t="s">
        <v>23</v>
      </c>
      <c r="E2" s="26" t="s">
        <v>12</v>
      </c>
      <c r="F2" s="50"/>
    </row>
    <row r="3" spans="1:6">
      <c r="A3" s="50"/>
      <c r="B3" s="55"/>
      <c r="C3" s="55"/>
      <c r="D3" s="27">
        <v>0.3</v>
      </c>
      <c r="E3" s="27">
        <v>0</v>
      </c>
      <c r="F3" s="50"/>
    </row>
    <row r="4" spans="1:6" ht="104">
      <c r="A4" s="23" t="s">
        <v>24</v>
      </c>
      <c r="B4" s="23" t="s">
        <v>25</v>
      </c>
      <c r="C4" s="23" t="s">
        <v>26</v>
      </c>
      <c r="D4" s="23" t="s">
        <v>27</v>
      </c>
      <c r="E4" s="23" t="s">
        <v>28</v>
      </c>
      <c r="F4" s="28">
        <v>15</v>
      </c>
    </row>
    <row r="5" spans="1:6" ht="136.9" customHeight="1">
      <c r="A5" s="23" t="s">
        <v>29</v>
      </c>
      <c r="B5" s="23" t="s">
        <v>30</v>
      </c>
      <c r="C5" s="23" t="s">
        <v>31</v>
      </c>
      <c r="D5" s="23" t="s">
        <v>32</v>
      </c>
      <c r="E5" s="23" t="s">
        <v>33</v>
      </c>
      <c r="F5" s="28">
        <v>25</v>
      </c>
    </row>
    <row r="6" spans="1:6" ht="87" customHeight="1">
      <c r="A6" s="23" t="s">
        <v>34</v>
      </c>
      <c r="B6" s="23" t="s">
        <v>35</v>
      </c>
      <c r="C6" s="23" t="s">
        <v>36</v>
      </c>
      <c r="D6" s="23" t="s">
        <v>37</v>
      </c>
      <c r="E6" s="23" t="s">
        <v>38</v>
      </c>
      <c r="F6" s="28">
        <v>20</v>
      </c>
    </row>
    <row r="7" spans="1:6" ht="91">
      <c r="A7" s="23" t="s">
        <v>39</v>
      </c>
      <c r="B7" s="23" t="s">
        <v>40</v>
      </c>
      <c r="C7" s="23" t="s">
        <v>41</v>
      </c>
      <c r="D7" s="23" t="s">
        <v>42</v>
      </c>
      <c r="E7" s="23" t="s">
        <v>43</v>
      </c>
      <c r="F7" s="28">
        <v>5</v>
      </c>
    </row>
    <row r="8" spans="1:6" ht="91">
      <c r="A8" s="23" t="s">
        <v>44</v>
      </c>
      <c r="B8" s="23" t="s">
        <v>45</v>
      </c>
      <c r="C8" s="23" t="s">
        <v>46</v>
      </c>
      <c r="D8" s="23" t="s">
        <v>47</v>
      </c>
      <c r="E8" s="23" t="s">
        <v>48</v>
      </c>
      <c r="F8" s="28">
        <v>5</v>
      </c>
    </row>
    <row r="9" spans="1:6" ht="91">
      <c r="A9" s="23" t="s">
        <v>49</v>
      </c>
      <c r="B9" s="23" t="s">
        <v>50</v>
      </c>
      <c r="C9" s="23" t="s">
        <v>51</v>
      </c>
      <c r="D9" s="23" t="s">
        <v>52</v>
      </c>
      <c r="E9" s="23" t="s">
        <v>53</v>
      </c>
      <c r="F9" s="24">
        <v>20</v>
      </c>
    </row>
    <row r="10" spans="1:6" ht="126" customHeight="1">
      <c r="A10" s="23" t="s">
        <v>54</v>
      </c>
      <c r="B10" s="23" t="s">
        <v>55</v>
      </c>
      <c r="C10" s="23" t="s">
        <v>56</v>
      </c>
      <c r="D10" s="23" t="s">
        <v>57</v>
      </c>
      <c r="E10" s="23" t="s">
        <v>58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53125" defaultRowHeight="15" customHeight="1"/>
  <cols>
    <col min="1" max="26" width="10.7265625" customWidth="1"/>
  </cols>
  <sheetData>
    <row r="1" spans="1:2" ht="14.5">
      <c r="A1" t="s">
        <v>13</v>
      </c>
      <c r="B1" t="s">
        <v>14</v>
      </c>
    </row>
    <row r="2" spans="1:2" ht="14.5">
      <c r="A2">
        <v>0</v>
      </c>
      <c r="B2">
        <v>1</v>
      </c>
    </row>
    <row r="3" spans="1:2" ht="14.5">
      <c r="A3">
        <v>0.5</v>
      </c>
      <c r="B3">
        <v>1</v>
      </c>
    </row>
    <row r="4" spans="1:2" ht="14.5">
      <c r="A4">
        <v>1</v>
      </c>
      <c r="B4">
        <v>1.1000000000000001</v>
      </c>
    </row>
    <row r="5" spans="1:2" ht="14.5">
      <c r="A5">
        <v>1.5</v>
      </c>
      <c r="B5">
        <v>1.1000000000000001</v>
      </c>
    </row>
    <row r="6" spans="1:2" ht="14.5">
      <c r="A6">
        <v>2</v>
      </c>
      <c r="B6">
        <v>1.1000000000000001</v>
      </c>
    </row>
    <row r="7" spans="1:2" ht="14.5">
      <c r="A7">
        <v>2.5</v>
      </c>
      <c r="B7">
        <v>1.1000000000000001</v>
      </c>
    </row>
    <row r="8" spans="1:2" ht="14.5">
      <c r="A8">
        <v>3</v>
      </c>
      <c r="B8">
        <v>1.2</v>
      </c>
    </row>
    <row r="9" spans="1:2" ht="14.5">
      <c r="A9">
        <v>3.5</v>
      </c>
      <c r="B9">
        <v>1.2</v>
      </c>
    </row>
    <row r="10" spans="1:2" ht="14.5">
      <c r="A10">
        <v>4</v>
      </c>
      <c r="B10">
        <v>1.2</v>
      </c>
    </row>
    <row r="11" spans="1:2" ht="14.5">
      <c r="A11">
        <v>4.5</v>
      </c>
      <c r="B11">
        <v>1.2</v>
      </c>
    </row>
    <row r="12" spans="1:2" ht="14.5">
      <c r="A12">
        <v>5</v>
      </c>
      <c r="B12">
        <v>1.3</v>
      </c>
    </row>
    <row r="13" spans="1:2" ht="14.5">
      <c r="A13">
        <v>5.5</v>
      </c>
      <c r="B13">
        <v>1.3</v>
      </c>
    </row>
    <row r="14" spans="1:2" ht="14.5">
      <c r="A14">
        <v>6</v>
      </c>
      <c r="B14">
        <v>1.3</v>
      </c>
    </row>
    <row r="15" spans="1:2" ht="14.5">
      <c r="A15">
        <v>6.5</v>
      </c>
      <c r="B15">
        <v>1.3</v>
      </c>
    </row>
    <row r="16" spans="1:2" ht="14.5">
      <c r="A16">
        <v>7</v>
      </c>
      <c r="B16">
        <v>1.4</v>
      </c>
    </row>
    <row r="17" spans="1:2" ht="14.5">
      <c r="A17">
        <v>7.5</v>
      </c>
      <c r="B17">
        <v>1.4</v>
      </c>
    </row>
    <row r="18" spans="1:2" ht="14.5">
      <c r="A18">
        <v>8</v>
      </c>
      <c r="B18">
        <v>1.4</v>
      </c>
    </row>
    <row r="19" spans="1:2" ht="14.5">
      <c r="A19">
        <v>8.5</v>
      </c>
      <c r="B19">
        <v>1.4</v>
      </c>
    </row>
    <row r="20" spans="1:2" ht="14.5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53125" defaultRowHeight="15" customHeight="1"/>
  <cols>
    <col min="1" max="26" width="10.7265625" customWidth="1"/>
  </cols>
  <sheetData>
    <row r="1" spans="1:2" ht="14.5">
      <c r="A1" t="s">
        <v>59</v>
      </c>
      <c r="B1" t="s">
        <v>60</v>
      </c>
    </row>
    <row r="2" spans="1:2" ht="14.5">
      <c r="A2">
        <v>0</v>
      </c>
      <c r="B2" s="1">
        <v>1</v>
      </c>
    </row>
    <row r="3" spans="1:2" ht="14.5">
      <c r="A3">
        <v>1</v>
      </c>
      <c r="B3" s="1">
        <v>1.1000000000000001</v>
      </c>
    </row>
    <row r="4" spans="1:2" ht="14.5">
      <c r="A4">
        <v>2</v>
      </c>
      <c r="B4" s="1">
        <v>1.2</v>
      </c>
    </row>
    <row r="5" spans="1:2" ht="14.5">
      <c r="A5">
        <v>3</v>
      </c>
      <c r="B5" s="1">
        <v>1.3</v>
      </c>
    </row>
    <row r="6" spans="1:2" ht="14.5">
      <c r="A6">
        <v>4</v>
      </c>
      <c r="B6" s="1">
        <v>1.4</v>
      </c>
    </row>
    <row r="7" spans="1:2" ht="14.5">
      <c r="A7">
        <v>5</v>
      </c>
      <c r="B7" s="1">
        <v>1.5</v>
      </c>
    </row>
    <row r="8" spans="1:2" ht="14.5">
      <c r="A8">
        <v>6</v>
      </c>
      <c r="B8" s="1">
        <v>1.6</v>
      </c>
    </row>
    <row r="9" spans="1:2" ht="14.5">
      <c r="A9">
        <v>7</v>
      </c>
      <c r="B9" s="1">
        <v>1.7</v>
      </c>
    </row>
    <row r="10" spans="1:2" ht="14.5">
      <c r="A10">
        <v>8</v>
      </c>
      <c r="B10" s="1">
        <v>1.8</v>
      </c>
    </row>
    <row r="11" spans="1:2" ht="14.5">
      <c r="A11">
        <v>9</v>
      </c>
      <c r="B11" s="1">
        <v>1.9</v>
      </c>
    </row>
    <row r="12" spans="1:2" ht="14.5">
      <c r="A12">
        <v>10</v>
      </c>
      <c r="B12" s="1">
        <v>2</v>
      </c>
    </row>
    <row r="13" spans="1:2" ht="14.5">
      <c r="A13">
        <v>11</v>
      </c>
      <c r="B13" s="1">
        <v>2.1</v>
      </c>
    </row>
    <row r="14" spans="1:2" ht="14.5">
      <c r="A14">
        <v>12</v>
      </c>
      <c r="B14" s="1">
        <v>2.2000000000000002</v>
      </c>
    </row>
    <row r="15" spans="1:2" ht="14.5">
      <c r="A15">
        <v>13</v>
      </c>
      <c r="B15" s="1">
        <v>2.2999999999999998</v>
      </c>
    </row>
    <row r="16" spans="1:2" ht="14.5">
      <c r="A16">
        <v>14</v>
      </c>
      <c r="B16" s="1">
        <v>2.2999999999999998</v>
      </c>
    </row>
    <row r="17" spans="1:2" ht="14.5">
      <c r="A17">
        <v>15</v>
      </c>
      <c r="B17" s="1">
        <v>2.4</v>
      </c>
    </row>
    <row r="18" spans="1:2" ht="14.5">
      <c r="A18">
        <v>16</v>
      </c>
      <c r="B18" s="1">
        <v>2.5</v>
      </c>
    </row>
    <row r="19" spans="1:2" ht="14.5">
      <c r="A19">
        <v>17</v>
      </c>
      <c r="B19" s="1">
        <v>2.6</v>
      </c>
    </row>
    <row r="20" spans="1:2" ht="14.5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53125" defaultRowHeight="15" customHeight="1"/>
  <cols>
    <col min="1" max="26" width="10.7265625" customWidth="1"/>
  </cols>
  <sheetData>
    <row r="1" spans="1:2" ht="14.5">
      <c r="A1" t="s">
        <v>13</v>
      </c>
      <c r="B1" t="s">
        <v>14</v>
      </c>
    </row>
    <row r="2" spans="1:2" ht="14.5">
      <c r="A2">
        <v>0</v>
      </c>
      <c r="B2">
        <v>1</v>
      </c>
    </row>
    <row r="3" spans="1:2" ht="14.5">
      <c r="A3">
        <v>0.5</v>
      </c>
      <c r="B3">
        <v>1.1000000000000001</v>
      </c>
    </row>
    <row r="4" spans="1:2" ht="14.5">
      <c r="A4">
        <v>1</v>
      </c>
      <c r="B4">
        <v>1.3</v>
      </c>
    </row>
    <row r="5" spans="1:2" ht="14.5">
      <c r="A5">
        <v>1.5</v>
      </c>
      <c r="B5">
        <v>1.4</v>
      </c>
    </row>
    <row r="6" spans="1:2" ht="14.5">
      <c r="A6">
        <v>2</v>
      </c>
      <c r="B6">
        <v>1.5</v>
      </c>
    </row>
    <row r="7" spans="1:2" ht="14.5">
      <c r="A7">
        <v>2.5</v>
      </c>
      <c r="B7">
        <v>1.6</v>
      </c>
    </row>
    <row r="8" spans="1:2" ht="14.5">
      <c r="A8">
        <v>3</v>
      </c>
      <c r="B8">
        <v>1.8</v>
      </c>
    </row>
    <row r="9" spans="1:2" ht="14.5">
      <c r="A9">
        <v>3.5</v>
      </c>
      <c r="B9">
        <v>1.9</v>
      </c>
    </row>
    <row r="10" spans="1:2" ht="14.5">
      <c r="A10">
        <v>4</v>
      </c>
      <c r="B10">
        <v>2</v>
      </c>
    </row>
    <row r="11" spans="1:2" ht="14.5">
      <c r="A11">
        <v>4.5</v>
      </c>
      <c r="B11">
        <v>2.1</v>
      </c>
    </row>
    <row r="12" spans="1:2" ht="14.5">
      <c r="A12">
        <v>5</v>
      </c>
      <c r="B12">
        <v>2.2999999999999998</v>
      </c>
    </row>
    <row r="13" spans="1:2" ht="14.5">
      <c r="A13">
        <v>5.5</v>
      </c>
      <c r="B13">
        <v>2.4</v>
      </c>
    </row>
    <row r="14" spans="1:2" ht="14.5">
      <c r="A14">
        <v>6</v>
      </c>
      <c r="B14">
        <v>2.5</v>
      </c>
    </row>
    <row r="15" spans="1:2" ht="14.5">
      <c r="A15">
        <v>6.5</v>
      </c>
      <c r="B15">
        <v>2.6</v>
      </c>
    </row>
    <row r="16" spans="1:2" ht="14.5">
      <c r="A16">
        <v>7</v>
      </c>
      <c r="B16">
        <v>2.8</v>
      </c>
    </row>
    <row r="17" spans="1:2" ht="14.5">
      <c r="A17">
        <v>7.5</v>
      </c>
      <c r="B17">
        <v>2.9</v>
      </c>
    </row>
    <row r="18" spans="1:2" ht="14.5">
      <c r="A18">
        <v>8</v>
      </c>
      <c r="B18">
        <v>3</v>
      </c>
    </row>
    <row r="19" spans="1:2" ht="14.5">
      <c r="A19">
        <v>8.5</v>
      </c>
      <c r="B19">
        <v>3.1</v>
      </c>
    </row>
    <row r="20" spans="1:2" ht="14.5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53125" defaultRowHeight="15" customHeight="1"/>
  <cols>
    <col min="1" max="25" width="10.7265625" customWidth="1"/>
  </cols>
  <sheetData>
    <row r="1" spans="1:5" ht="14.5">
      <c r="A1" s="56" t="s">
        <v>61</v>
      </c>
      <c r="B1" s="4" t="s">
        <v>13</v>
      </c>
      <c r="C1" s="5"/>
      <c r="D1" s="5"/>
      <c r="E1" s="6"/>
    </row>
    <row r="2" spans="1:5" ht="44" thickBot="1">
      <c r="A2" s="57"/>
      <c r="B2" s="7" t="s">
        <v>9</v>
      </c>
      <c r="C2" s="8" t="s">
        <v>10</v>
      </c>
      <c r="D2" s="20" t="s">
        <v>62</v>
      </c>
      <c r="E2" s="38" t="s">
        <v>12</v>
      </c>
    </row>
    <row r="3" spans="1:5" ht="29.5" thickBot="1">
      <c r="A3" s="9" t="s">
        <v>63</v>
      </c>
      <c r="B3" s="10">
        <v>4</v>
      </c>
      <c r="C3" s="10">
        <v>3</v>
      </c>
      <c r="D3" s="10">
        <v>2</v>
      </c>
      <c r="E3" s="10">
        <v>0</v>
      </c>
    </row>
    <row r="4" spans="1:5" thickBot="1">
      <c r="A4" s="9"/>
      <c r="B4" s="10"/>
      <c r="C4" s="10"/>
      <c r="D4" s="10"/>
      <c r="E4" s="10"/>
    </row>
    <row r="5" spans="1: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Rover</cp:lastModifiedBy>
  <cp:revision/>
  <dcterms:created xsi:type="dcterms:W3CDTF">2023-08-07T04:08:01Z</dcterms:created>
  <dcterms:modified xsi:type="dcterms:W3CDTF">2025-11-19T03:48:00Z</dcterms:modified>
  <cp:category/>
  <cp:contentStatus/>
</cp:coreProperties>
</file>